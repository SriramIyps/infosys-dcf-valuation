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riram intern\"/>
    </mc:Choice>
  </mc:AlternateContent>
  <xr:revisionPtr revIDLastSave="0" documentId="13_ncr:1_{80C3459A-6BC9-4591-AFD6-8C9AA0D07F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CF Full" sheetId="6" r:id="rId1"/>
    <sheet name="FCF" sheetId="1" r:id="rId2"/>
    <sheet name="WACC" sheetId="2" r:id="rId3"/>
    <sheet name="Terminal Value" sheetId="3" r:id="rId4"/>
    <sheet name="Discounting" sheetId="4" r:id="rId5"/>
    <sheet name="EV to Equity Valu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hkXNOltox9YMHCTh0RRGzBAsJ9og=="/>
    </ext>
  </extLst>
</workbook>
</file>

<file path=xl/calcChain.xml><?xml version="1.0" encoding="utf-8"?>
<calcChain xmlns="http://schemas.openxmlformats.org/spreadsheetml/2006/main">
  <c r="C5" i="4" l="1"/>
  <c r="D10" i="4" s="1"/>
  <c r="D12" i="4" s="1"/>
  <c r="C7" i="3"/>
  <c r="C5" i="3"/>
  <c r="C6" i="6"/>
  <c r="C5" i="6"/>
  <c r="H30" i="6"/>
  <c r="H14" i="3"/>
  <c r="C11" i="2"/>
  <c r="C15" i="2" s="1"/>
  <c r="H29" i="6"/>
  <c r="C24" i="6"/>
  <c r="C25" i="6"/>
  <c r="C23" i="6"/>
  <c r="D16" i="6"/>
  <c r="D20" i="6" s="1"/>
  <c r="E16" i="6"/>
  <c r="E20" i="6" s="1"/>
  <c r="F16" i="6"/>
  <c r="F20" i="6" s="1"/>
  <c r="G16" i="6"/>
  <c r="G20" i="6" s="1"/>
  <c r="C16" i="6"/>
  <c r="C20" i="6" s="1"/>
  <c r="C13" i="5"/>
  <c r="C10" i="5"/>
  <c r="C5" i="5"/>
  <c r="C6" i="5"/>
  <c r="C9" i="5"/>
  <c r="C8" i="5"/>
  <c r="C7" i="5"/>
  <c r="E10" i="4"/>
  <c r="E12" i="4" s="1"/>
  <c r="F10" i="4"/>
  <c r="F12" i="4" s="1"/>
  <c r="C10" i="4"/>
  <c r="C12" i="4" s="1"/>
  <c r="G10" i="4"/>
  <c r="H13" i="3"/>
  <c r="C14" i="2"/>
  <c r="C13" i="2"/>
  <c r="C18" i="1"/>
  <c r="C17" i="1"/>
  <c r="C16" i="1"/>
  <c r="C15" i="1"/>
  <c r="C14" i="1"/>
  <c r="H15" i="3" l="1"/>
  <c r="G12" i="4"/>
  <c r="C15" i="4" s="1"/>
  <c r="G13" i="4"/>
  <c r="C26" i="6"/>
  <c r="E35" i="6"/>
  <c r="E36" i="6" s="1"/>
  <c r="H35" i="6"/>
  <c r="H36" i="6" s="1"/>
  <c r="G35" i="6"/>
  <c r="G36" i="6" s="1"/>
  <c r="F35" i="6"/>
  <c r="F36" i="6" s="1"/>
  <c r="D35" i="6"/>
  <c r="D36" i="6" s="1"/>
  <c r="H31" i="6"/>
  <c r="H32" i="6"/>
  <c r="H37" i="6" s="1"/>
  <c r="C38" i="6" s="1"/>
  <c r="C45" i="6" s="1"/>
  <c r="C48" i="6" s="1"/>
</calcChain>
</file>

<file path=xl/sharedStrings.xml><?xml version="1.0" encoding="utf-8"?>
<sst xmlns="http://schemas.openxmlformats.org/spreadsheetml/2006/main" count="100" uniqueCount="62">
  <si>
    <t>Calculate the FCF</t>
  </si>
  <si>
    <t>Assumptions</t>
  </si>
  <si>
    <t>EBIT</t>
  </si>
  <si>
    <t>Tax Rate %</t>
  </si>
  <si>
    <t>Depreciation</t>
  </si>
  <si>
    <t>Amortization</t>
  </si>
  <si>
    <t>CapEx</t>
  </si>
  <si>
    <t>Non-cash Working Capital (inc) / dec</t>
  </si>
  <si>
    <t>Free Cash Flow</t>
  </si>
  <si>
    <t>Tax</t>
  </si>
  <si>
    <t>D&amp;A</t>
  </si>
  <si>
    <t>WACC Calculation</t>
  </si>
  <si>
    <t>Equity value</t>
  </si>
  <si>
    <t>Debt value</t>
  </si>
  <si>
    <t>Cost of Debt</t>
  </si>
  <si>
    <t>Tax rate</t>
  </si>
  <si>
    <t>10y Treasury</t>
  </si>
  <si>
    <t>Beta</t>
  </si>
  <si>
    <t>Market Return</t>
  </si>
  <si>
    <t>Cost of Equity</t>
  </si>
  <si>
    <t>E / D +E</t>
  </si>
  <si>
    <t>D / D+E</t>
  </si>
  <si>
    <t>WACC</t>
  </si>
  <si>
    <t>Terminal Value Calculation</t>
  </si>
  <si>
    <t>Growth rate</t>
  </si>
  <si>
    <t>EV/EBITDA Multiple</t>
  </si>
  <si>
    <t>Period</t>
  </si>
  <si>
    <t>EBITDA</t>
  </si>
  <si>
    <t>FCF</t>
  </si>
  <si>
    <t>Perpertuity Growth TV</t>
  </si>
  <si>
    <t>EV/ EBITDA TV</t>
  </si>
  <si>
    <t>Average</t>
  </si>
  <si>
    <t>Discounting Cash Flows</t>
  </si>
  <si>
    <t>Assumption</t>
  </si>
  <si>
    <t>Terminal Value</t>
  </si>
  <si>
    <t>Discount factor</t>
  </si>
  <si>
    <t>PV of FCF</t>
  </si>
  <si>
    <t>PV of TV</t>
  </si>
  <si>
    <t>Enterprise Value</t>
  </si>
  <si>
    <t>Enterprise Value to Equity Value</t>
  </si>
  <si>
    <t>Cash</t>
  </si>
  <si>
    <t>Marketable Securities</t>
  </si>
  <si>
    <t>Short term debt</t>
  </si>
  <si>
    <t>Long term debt</t>
  </si>
  <si>
    <t>Equity Value</t>
  </si>
  <si>
    <t>Shares Outstanding</t>
  </si>
  <si>
    <t>Share Price</t>
  </si>
  <si>
    <t>Discounted Cash Flow Full</t>
  </si>
  <si>
    <t>Tax Rate</t>
  </si>
  <si>
    <t>Free Cash Flows</t>
  </si>
  <si>
    <t>Non-cash Work. Capital (inc) / dec</t>
  </si>
  <si>
    <t>D/D+E</t>
  </si>
  <si>
    <t>E/D+E</t>
  </si>
  <si>
    <t>Exit Multiple (EV/EBITDA)</t>
  </si>
  <si>
    <t>Perpetuity Growth</t>
  </si>
  <si>
    <t>Discounting</t>
  </si>
  <si>
    <t>Discount Factor</t>
  </si>
  <si>
    <t>Short term Debt</t>
  </si>
  <si>
    <t>Long term Debt</t>
  </si>
  <si>
    <t>Implied Share Price</t>
  </si>
  <si>
    <t>Assumptions part 1</t>
  </si>
  <si>
    <t>Assumptions 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</si>
</sst>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0.0%"/>
    <numFmt numFmtId="166" formatCode="0.00\x"/>
    <numFmt numFmtId="167" formatCode="0.0"/>
    <numFmt numFmtId="168" formatCode="#,##0.00;\(#,##0.00\)"/>
  </numFmts>
  <fonts count="10" x14ac:knownFonts="1">
    <font>
      <sz val="12"/>
      <color theme="1"/>
      <name val="Arial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/>
    <xf numFmtId="0" fontId="4" fillId="0" borderId="3" xfId="0" applyFont="1" applyBorder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9" fontId="5" fillId="0" borderId="0" xfId="0" applyNumberFormat="1" applyFont="1"/>
    <xf numFmtId="0" fontId="6" fillId="3" borderId="4" xfId="0" applyFont="1" applyFill="1" applyBorder="1"/>
    <xf numFmtId="164" fontId="6" fillId="3" borderId="4" xfId="0" applyNumberFormat="1" applyFont="1" applyFill="1" applyBorder="1"/>
    <xf numFmtId="0" fontId="4" fillId="0" borderId="0" xfId="0" applyFont="1" applyAlignment="1">
      <alignment horizontal="left"/>
    </xf>
    <xf numFmtId="0" fontId="2" fillId="0" borderId="5" xfId="0" applyFont="1" applyBorder="1"/>
    <xf numFmtId="164" fontId="2" fillId="3" borderId="6" xfId="0" applyNumberFormat="1" applyFont="1" applyFill="1" applyBorder="1"/>
    <xf numFmtId="0" fontId="1" fillId="0" borderId="0" xfId="0" applyFont="1"/>
    <xf numFmtId="0" fontId="5" fillId="0" borderId="0" xfId="0" applyFont="1"/>
    <xf numFmtId="0" fontId="4" fillId="0" borderId="5" xfId="0" applyFont="1" applyBorder="1"/>
    <xf numFmtId="9" fontId="4" fillId="0" borderId="5" xfId="0" applyNumberFormat="1" applyFont="1" applyBorder="1"/>
    <xf numFmtId="9" fontId="4" fillId="0" borderId="0" xfId="0" applyNumberFormat="1" applyFont="1"/>
    <xf numFmtId="165" fontId="2" fillId="3" borderId="6" xfId="0" applyNumberFormat="1" applyFont="1" applyFill="1" applyBorder="1"/>
    <xf numFmtId="10" fontId="5" fillId="0" borderId="0" xfId="0" applyNumberFormat="1" applyFont="1"/>
    <xf numFmtId="166" fontId="5" fillId="0" borderId="0" xfId="0" applyNumberFormat="1" applyFont="1"/>
    <xf numFmtId="0" fontId="7" fillId="3" borderId="4" xfId="0" applyFont="1" applyFill="1" applyBorder="1"/>
    <xf numFmtId="0" fontId="4" fillId="0" borderId="0" xfId="0" applyFont="1" applyAlignment="1">
      <alignment horizontal="right"/>
    </xf>
    <xf numFmtId="167" fontId="4" fillId="3" borderId="4" xfId="0" applyNumberFormat="1" applyFont="1" applyFill="1" applyBorder="1"/>
    <xf numFmtId="0" fontId="4" fillId="0" borderId="3" xfId="0" applyFont="1" applyBorder="1" applyAlignment="1">
      <alignment horizontal="right"/>
    </xf>
    <xf numFmtId="167" fontId="4" fillId="3" borderId="8" xfId="0" applyNumberFormat="1" applyFont="1" applyFill="1" applyBorder="1"/>
    <xf numFmtId="167" fontId="4" fillId="0" borderId="5" xfId="0" applyNumberFormat="1" applyFont="1" applyBorder="1"/>
    <xf numFmtId="0" fontId="2" fillId="0" borderId="0" xfId="0" applyFont="1"/>
    <xf numFmtId="167" fontId="2" fillId="3" borderId="4" xfId="0" applyNumberFormat="1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5" fillId="0" borderId="0" xfId="0" applyNumberFormat="1" applyFont="1"/>
    <xf numFmtId="167" fontId="5" fillId="0" borderId="0" xfId="0" applyNumberFormat="1" applyFont="1"/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164" fontId="4" fillId="5" borderId="4" xfId="0" applyNumberFormat="1" applyFont="1" applyFill="1" applyBorder="1"/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/>
    <xf numFmtId="164" fontId="2" fillId="5" borderId="6" xfId="0" applyNumberFormat="1" applyFont="1" applyFill="1" applyBorder="1"/>
    <xf numFmtId="164" fontId="4" fillId="3" borderId="4" xfId="0" applyNumberFormat="1" applyFont="1" applyFill="1" applyBorder="1"/>
    <xf numFmtId="10" fontId="4" fillId="5" borderId="4" xfId="0" applyNumberFormat="1" applyFont="1" applyFill="1" applyBorder="1"/>
    <xf numFmtId="10" fontId="2" fillId="5" borderId="6" xfId="0" applyNumberFormat="1" applyFont="1" applyFill="1" applyBorder="1"/>
    <xf numFmtId="168" fontId="4" fillId="5" borderId="4" xfId="0" applyNumberFormat="1" applyFont="1" applyFill="1" applyBorder="1"/>
    <xf numFmtId="168" fontId="2" fillId="5" borderId="6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3" fontId="5" fillId="0" borderId="0" xfId="0" applyNumberFormat="1" applyFont="1"/>
    <xf numFmtId="9" fontId="9" fillId="0" borderId="0" xfId="0" applyNumberFormat="1" applyFont="1"/>
    <xf numFmtId="2" fontId="1" fillId="0" borderId="5" xfId="0" applyNumberFormat="1" applyFont="1" applyBorder="1"/>
    <xf numFmtId="0" fontId="5" fillId="0" borderId="0" xfId="0" applyNumberFormat="1" applyFont="1"/>
    <xf numFmtId="0" fontId="1" fillId="0" borderId="3" xfId="0" applyFont="1" applyBorder="1"/>
    <xf numFmtId="0" fontId="2" fillId="6" borderId="1" xfId="0" applyFont="1" applyFill="1" applyBorder="1" applyAlignment="1">
      <alignment horizontal="center"/>
    </xf>
    <xf numFmtId="0" fontId="3" fillId="7" borderId="7" xfId="0" applyFont="1" applyFill="1" applyBorder="1"/>
    <xf numFmtId="0" fontId="3" fillId="7" borderId="2" xfId="0" applyFont="1" applyFill="1" applyBorder="1"/>
    <xf numFmtId="0" fontId="7" fillId="6" borderId="4" xfId="0" applyFont="1" applyFill="1" applyBorder="1" applyAlignment="1">
      <alignment horizontal="right"/>
    </xf>
    <xf numFmtId="0" fontId="7" fillId="6" borderId="4" xfId="0" applyFont="1" applyFill="1" applyBorder="1"/>
    <xf numFmtId="0" fontId="0" fillId="8" borderId="0" xfId="0" applyFill="1"/>
    <xf numFmtId="0" fontId="4" fillId="8" borderId="0" xfId="0" applyFont="1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6" fillId="6" borderId="4" xfId="0" applyFont="1" applyFill="1" applyBorder="1"/>
    <xf numFmtId="164" fontId="4" fillId="6" borderId="4" xfId="0" applyNumberFormat="1" applyFont="1" applyFill="1" applyBorder="1"/>
    <xf numFmtId="0" fontId="6" fillId="6" borderId="4" xfId="0" applyFont="1" applyFill="1" applyBorder="1" applyAlignment="1">
      <alignment horizontal="left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695325</xdr:colOff>
      <xdr:row>5</xdr:row>
      <xdr:rowOff>53340</xdr:rowOff>
    </xdr:from>
    <xdr:ext cx="5229225" cy="904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42385" y="1043940"/>
          <a:ext cx="52292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</xdr:row>
      <xdr:rowOff>28575</xdr:rowOff>
    </xdr:from>
    <xdr:ext cx="4371975" cy="600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198121</xdr:colOff>
      <xdr:row>11</xdr:row>
      <xdr:rowOff>146685</xdr:rowOff>
    </xdr:from>
    <xdr:ext cx="1447799" cy="42481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1921" y="2333625"/>
          <a:ext cx="1447799" cy="42481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19</xdr:row>
      <xdr:rowOff>171450</xdr:rowOff>
    </xdr:from>
    <xdr:ext cx="5572125" cy="9239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742950</xdr:colOff>
      <xdr:row>14</xdr:row>
      <xdr:rowOff>152400</xdr:rowOff>
    </xdr:from>
    <xdr:ext cx="3962400" cy="91440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showGridLines="0" tabSelected="1" topLeftCell="A34" workbookViewId="0">
      <selection activeCell="B58" sqref="B58"/>
    </sheetView>
  </sheetViews>
  <sheetFormatPr defaultColWidth="11.36328125" defaultRowHeight="15" customHeight="1" x14ac:dyDescent="0.25"/>
  <cols>
    <col min="1" max="1" width="6.6328125" customWidth="1"/>
    <col min="2" max="2" width="31.08984375" customWidth="1"/>
    <col min="3" max="4" width="10.54296875" customWidth="1"/>
    <col min="5" max="5" width="13.08984375" customWidth="1"/>
    <col min="6" max="26" width="10.54296875" customWidth="1"/>
  </cols>
  <sheetData>
    <row r="1" spans="1:11" ht="15.75" customHeight="1" x14ac:dyDescent="0.25"/>
    <row r="2" spans="1:11" ht="15.75" customHeight="1" x14ac:dyDescent="0.3">
      <c r="B2" s="55" t="s">
        <v>47</v>
      </c>
      <c r="C2" s="56"/>
      <c r="D2" s="56"/>
      <c r="E2" s="56"/>
      <c r="F2" s="56"/>
      <c r="G2" s="56"/>
      <c r="H2" s="57"/>
    </row>
    <row r="3" spans="1:11" ht="15.75" customHeight="1" x14ac:dyDescent="0.3">
      <c r="A3" s="30"/>
      <c r="B3" s="31"/>
      <c r="C3" s="31"/>
      <c r="D3" s="31"/>
      <c r="E3" s="31"/>
      <c r="F3" s="31"/>
      <c r="G3" s="31"/>
      <c r="H3" s="31"/>
      <c r="I3" s="30"/>
    </row>
    <row r="4" spans="1:11" ht="15.75" customHeight="1" x14ac:dyDescent="0.3">
      <c r="B4" s="54" t="s">
        <v>60</v>
      </c>
      <c r="C4" s="2"/>
      <c r="E4" s="54" t="s">
        <v>61</v>
      </c>
      <c r="F4" s="2"/>
    </row>
    <row r="5" spans="1:11" ht="15.75" customHeight="1" x14ac:dyDescent="0.3">
      <c r="B5" s="3" t="s">
        <v>24</v>
      </c>
      <c r="C5" s="32">
        <f>6%</f>
        <v>0.06</v>
      </c>
      <c r="E5" s="3" t="s">
        <v>17</v>
      </c>
      <c r="F5" s="33">
        <v>0.9</v>
      </c>
    </row>
    <row r="6" spans="1:11" ht="15.75" customHeight="1" x14ac:dyDescent="0.3">
      <c r="B6" s="3" t="s">
        <v>25</v>
      </c>
      <c r="C6" s="19">
        <f>19</f>
        <v>19</v>
      </c>
      <c r="E6" s="3" t="s">
        <v>18</v>
      </c>
      <c r="F6" s="18">
        <v>0.11</v>
      </c>
    </row>
    <row r="7" spans="1:11" ht="15.75" customHeight="1" x14ac:dyDescent="0.3">
      <c r="B7" s="3" t="s">
        <v>14</v>
      </c>
      <c r="C7" s="6">
        <v>2.5000000000000001E-2</v>
      </c>
      <c r="E7" s="34" t="s">
        <v>12</v>
      </c>
      <c r="F7" s="50">
        <v>515060</v>
      </c>
    </row>
    <row r="8" spans="1:11" ht="15.75" customHeight="1" x14ac:dyDescent="0.3">
      <c r="B8" s="3" t="s">
        <v>48</v>
      </c>
      <c r="C8" s="6">
        <v>0.28899999999999998</v>
      </c>
      <c r="E8" s="34" t="s">
        <v>13</v>
      </c>
      <c r="F8" s="4">
        <v>0</v>
      </c>
      <c r="J8" s="34"/>
      <c r="K8" s="13"/>
    </row>
    <row r="9" spans="1:11" ht="15.75" customHeight="1" x14ac:dyDescent="0.3">
      <c r="B9" s="3" t="s">
        <v>16</v>
      </c>
      <c r="C9" s="32">
        <v>7.0000000000000007E-2</v>
      </c>
      <c r="E9" s="3"/>
      <c r="F9" s="3"/>
      <c r="J9" s="34"/>
      <c r="K9" s="13"/>
    </row>
    <row r="10" spans="1:11" ht="15.75" customHeight="1" x14ac:dyDescent="0.3">
      <c r="I10" s="34"/>
      <c r="J10" s="13"/>
    </row>
    <row r="11" spans="1:11" ht="15.75" customHeight="1" x14ac:dyDescent="0.3">
      <c r="I11" s="34"/>
      <c r="J11" s="13"/>
    </row>
    <row r="12" spans="1:11" ht="15.75" customHeight="1" x14ac:dyDescent="0.3">
      <c r="A12" s="9"/>
      <c r="B12" s="58" t="s">
        <v>26</v>
      </c>
      <c r="C12" s="59">
        <v>1</v>
      </c>
      <c r="D12" s="59">
        <v>2</v>
      </c>
      <c r="E12" s="59">
        <v>3</v>
      </c>
      <c r="F12" s="59">
        <v>4</v>
      </c>
      <c r="G12" s="59">
        <v>5</v>
      </c>
      <c r="I12" s="34"/>
      <c r="J12" s="13"/>
    </row>
    <row r="13" spans="1:11" ht="15.75" customHeight="1" x14ac:dyDescent="0.3">
      <c r="A13" s="9"/>
      <c r="B13" s="35"/>
      <c r="C13" s="36"/>
      <c r="D13" s="36"/>
      <c r="E13" s="36"/>
      <c r="F13" s="36"/>
      <c r="G13" s="36"/>
      <c r="H13" s="3"/>
      <c r="I13" s="34"/>
      <c r="J13" s="13"/>
    </row>
    <row r="14" spans="1:11" ht="15.75" customHeight="1" x14ac:dyDescent="0.3">
      <c r="B14" s="7" t="s">
        <v>49</v>
      </c>
      <c r="I14" s="34"/>
      <c r="J14" s="6"/>
    </row>
    <row r="15" spans="1:11" ht="15.75" customHeight="1" x14ac:dyDescent="0.3">
      <c r="A15" s="66"/>
      <c r="B15" s="61" t="s">
        <v>2</v>
      </c>
      <c r="C15" s="4">
        <v>36000</v>
      </c>
      <c r="D15" s="4">
        <v>38880</v>
      </c>
      <c r="E15" s="4">
        <v>41990</v>
      </c>
      <c r="F15" s="4">
        <v>45350</v>
      </c>
      <c r="G15" s="4">
        <v>48980</v>
      </c>
    </row>
    <row r="16" spans="1:11" ht="15.75" customHeight="1" x14ac:dyDescent="0.3">
      <c r="A16" s="66"/>
      <c r="B16" s="61" t="s">
        <v>9</v>
      </c>
      <c r="C16" s="37">
        <f>C15*-$C$8</f>
        <v>-10404</v>
      </c>
      <c r="D16" s="37">
        <f t="shared" ref="D16:G16" si="0">D15*-$C$8</f>
        <v>-11236.32</v>
      </c>
      <c r="E16" s="37">
        <f t="shared" si="0"/>
        <v>-12135.109999999999</v>
      </c>
      <c r="F16" s="37">
        <f t="shared" si="0"/>
        <v>-13106.15</v>
      </c>
      <c r="G16" s="37">
        <f t="shared" si="0"/>
        <v>-14155.22</v>
      </c>
    </row>
    <row r="17" spans="1:8" ht="15.75" customHeight="1" x14ac:dyDescent="0.3">
      <c r="A17" s="66"/>
      <c r="B17" s="61" t="s">
        <v>10</v>
      </c>
      <c r="C17" s="4">
        <v>4500</v>
      </c>
      <c r="D17" s="4">
        <v>4700</v>
      </c>
      <c r="E17" s="4">
        <v>4900</v>
      </c>
      <c r="F17" s="4">
        <v>5100</v>
      </c>
      <c r="G17" s="4">
        <v>5300</v>
      </c>
    </row>
    <row r="18" spans="1:8" ht="15.75" customHeight="1" x14ac:dyDescent="0.3">
      <c r="A18" s="66"/>
      <c r="B18" s="61" t="s">
        <v>6</v>
      </c>
      <c r="C18" s="4">
        <v>-4000</v>
      </c>
      <c r="D18" s="4">
        <v>-4200</v>
      </c>
      <c r="E18" s="4">
        <v>-4400</v>
      </c>
      <c r="F18" s="4">
        <v>-4600</v>
      </c>
      <c r="G18" s="4">
        <v>-4800</v>
      </c>
    </row>
    <row r="19" spans="1:8" ht="15.75" customHeight="1" x14ac:dyDescent="0.3">
      <c r="A19" s="66"/>
      <c r="B19" s="61" t="s">
        <v>50</v>
      </c>
      <c r="C19" s="4">
        <v>-2500</v>
      </c>
      <c r="D19" s="4">
        <v>-2600</v>
      </c>
      <c r="E19" s="4">
        <v>-2700</v>
      </c>
      <c r="F19" s="4">
        <v>-2800</v>
      </c>
      <c r="G19" s="4">
        <v>-2900</v>
      </c>
    </row>
    <row r="20" spans="1:8" ht="15.75" customHeight="1" x14ac:dyDescent="0.3">
      <c r="A20" s="66"/>
      <c r="B20" s="62" t="s">
        <v>28</v>
      </c>
      <c r="C20" s="40">
        <f>SUM(C15:C19)</f>
        <v>23596</v>
      </c>
      <c r="D20" s="40">
        <f t="shared" ref="D20:G20" si="1">SUM(D15:D19)</f>
        <v>25543.68</v>
      </c>
      <c r="E20" s="40">
        <f t="shared" si="1"/>
        <v>27654.89</v>
      </c>
      <c r="F20" s="40">
        <f t="shared" si="1"/>
        <v>29943.85</v>
      </c>
      <c r="G20" s="40">
        <f t="shared" si="1"/>
        <v>32424.78</v>
      </c>
    </row>
    <row r="21" spans="1:8" ht="15.75" customHeight="1" x14ac:dyDescent="0.3">
      <c r="A21" s="66"/>
      <c r="B21" s="60"/>
      <c r="C21" s="5"/>
      <c r="D21" s="5"/>
      <c r="E21" s="5"/>
      <c r="F21" s="5"/>
      <c r="G21" s="5"/>
    </row>
    <row r="22" spans="1:8" ht="15.75" customHeight="1" x14ac:dyDescent="0.3">
      <c r="B22" s="63" t="s">
        <v>22</v>
      </c>
      <c r="C22" s="41"/>
      <c r="D22" s="5"/>
      <c r="E22" s="5"/>
      <c r="F22" s="5"/>
      <c r="G22" s="5"/>
      <c r="H22" s="5"/>
    </row>
    <row r="23" spans="1:8" ht="15.75" customHeight="1" x14ac:dyDescent="0.3">
      <c r="B23" s="9" t="s">
        <v>19</v>
      </c>
      <c r="C23" s="42">
        <f>C9+F5*(F6-C9)</f>
        <v>0.10600000000000001</v>
      </c>
      <c r="D23" s="5"/>
      <c r="E23" s="5"/>
      <c r="F23" s="5"/>
      <c r="G23" s="5"/>
      <c r="H23" s="5"/>
    </row>
    <row r="24" spans="1:8" ht="15.75" customHeight="1" x14ac:dyDescent="0.3">
      <c r="B24" s="9" t="s">
        <v>51</v>
      </c>
      <c r="C24" s="42">
        <f>F8/SUM(F7:F8)</f>
        <v>0</v>
      </c>
      <c r="D24" s="5"/>
      <c r="E24" s="5"/>
      <c r="F24" s="5"/>
      <c r="G24" s="5"/>
      <c r="H24" s="5"/>
    </row>
    <row r="25" spans="1:8" ht="15.75" customHeight="1" x14ac:dyDescent="0.3">
      <c r="B25" s="9" t="s">
        <v>52</v>
      </c>
      <c r="C25" s="42">
        <f>F7/SUM(F7:F8)</f>
        <v>1</v>
      </c>
      <c r="D25" s="5"/>
      <c r="E25" s="5"/>
      <c r="F25" s="5"/>
      <c r="G25" s="5"/>
      <c r="H25" s="5"/>
    </row>
    <row r="26" spans="1:8" ht="15.75" customHeight="1" x14ac:dyDescent="0.3">
      <c r="B26" s="38" t="s">
        <v>22</v>
      </c>
      <c r="C26" s="43">
        <f>C25*C23+C24*C7*(1-C8)</f>
        <v>0.10600000000000001</v>
      </c>
      <c r="D26" s="5"/>
      <c r="E26" s="5"/>
      <c r="F26" s="5"/>
      <c r="G26" s="5"/>
      <c r="H26" s="5"/>
    </row>
    <row r="27" spans="1:8" ht="15.75" customHeight="1" x14ac:dyDescent="0.3">
      <c r="C27" s="5"/>
      <c r="D27" s="5"/>
      <c r="E27" s="5"/>
      <c r="F27" s="5"/>
      <c r="G27" s="5"/>
      <c r="H27" s="5"/>
    </row>
    <row r="28" spans="1:8" ht="15.75" customHeight="1" x14ac:dyDescent="0.3">
      <c r="B28" s="63" t="s">
        <v>34</v>
      </c>
      <c r="C28" s="64"/>
      <c r="D28" s="64"/>
      <c r="E28" s="64"/>
      <c r="F28" s="64"/>
      <c r="G28" s="64"/>
      <c r="H28" s="64"/>
    </row>
    <row r="29" spans="1:8" ht="15.75" customHeight="1" x14ac:dyDescent="0.3">
      <c r="B29" s="9" t="s">
        <v>27</v>
      </c>
      <c r="C29" s="5"/>
      <c r="D29" s="5"/>
      <c r="E29" s="5"/>
      <c r="F29" s="5"/>
      <c r="G29" s="5"/>
      <c r="H29" s="37">
        <f>G15+G17</f>
        <v>54280</v>
      </c>
    </row>
    <row r="30" spans="1:8" ht="15.75" customHeight="1" x14ac:dyDescent="0.3">
      <c r="B30" s="9" t="s">
        <v>53</v>
      </c>
      <c r="C30" s="5"/>
      <c r="D30" s="5"/>
      <c r="E30" s="5"/>
      <c r="F30" s="5"/>
      <c r="G30" s="5"/>
      <c r="H30" s="37">
        <f>H29*C6</f>
        <v>1031320</v>
      </c>
    </row>
    <row r="31" spans="1:8" ht="15.75" customHeight="1" x14ac:dyDescent="0.3">
      <c r="B31" s="9" t="s">
        <v>54</v>
      </c>
      <c r="C31" s="5"/>
      <c r="D31" s="5"/>
      <c r="E31" s="5"/>
      <c r="F31" s="5"/>
      <c r="G31" s="5"/>
      <c r="H31" s="37">
        <f>G20*(1+C5)/(C26-C5)</f>
        <v>747179.71304347797</v>
      </c>
    </row>
    <row r="32" spans="1:8" ht="15.75" customHeight="1" x14ac:dyDescent="0.3">
      <c r="B32" s="38" t="s">
        <v>31</v>
      </c>
      <c r="C32" s="39"/>
      <c r="D32" s="39"/>
      <c r="E32" s="39"/>
      <c r="F32" s="39"/>
      <c r="G32" s="39"/>
      <c r="H32" s="40">
        <f>AVERAGE(H30:H31)</f>
        <v>889249.85652173893</v>
      </c>
    </row>
    <row r="33" spans="2:8" ht="15.75" customHeight="1" x14ac:dyDescent="0.3">
      <c r="C33" s="5"/>
      <c r="D33" s="5"/>
      <c r="E33" s="5"/>
      <c r="F33" s="5"/>
      <c r="G33" s="5"/>
      <c r="H33" s="5"/>
    </row>
    <row r="34" spans="2:8" ht="15.75" customHeight="1" x14ac:dyDescent="0.3">
      <c r="B34" s="65" t="s">
        <v>55</v>
      </c>
      <c r="C34" s="64"/>
      <c r="D34" s="64"/>
      <c r="E34" s="64"/>
      <c r="F34" s="64"/>
      <c r="G34" s="64"/>
      <c r="H34" s="64"/>
    </row>
    <row r="35" spans="2:8" ht="15.75" customHeight="1" x14ac:dyDescent="0.3">
      <c r="B35" s="9" t="s">
        <v>56</v>
      </c>
      <c r="C35" s="5"/>
      <c r="D35" s="44">
        <f>1/(1+$C$26)^C12</f>
        <v>0.90415913200723319</v>
      </c>
      <c r="E35" s="44">
        <f>1/(1+$C$26)^D12</f>
        <v>0.81750373599207338</v>
      </c>
      <c r="F35" s="44">
        <f>1/(1+$C$26)^E12</f>
        <v>0.73915346834726336</v>
      </c>
      <c r="G35" s="44">
        <f>1/(1+$C$26)^F12</f>
        <v>0.66831235836099756</v>
      </c>
      <c r="H35" s="44">
        <f>1/(1+$C$26)^G12</f>
        <v>0.60426072184538648</v>
      </c>
    </row>
    <row r="36" spans="2:8" ht="15.75" customHeight="1" x14ac:dyDescent="0.3">
      <c r="B36" s="9" t="s">
        <v>36</v>
      </c>
      <c r="C36" s="5"/>
      <c r="D36" s="37">
        <f>D35*C20</f>
        <v>21334.538878842675</v>
      </c>
      <c r="E36" s="37">
        <f>E35*D20</f>
        <v>20882.053830986006</v>
      </c>
      <c r="F36" s="37">
        <f>F35*E20</f>
        <v>20441.20786026205</v>
      </c>
      <c r="G36" s="37">
        <f>G35*F20</f>
        <v>20011.845011907957</v>
      </c>
      <c r="H36" s="37">
        <f>H35*G20</f>
        <v>19593.020968477849</v>
      </c>
    </row>
    <row r="37" spans="2:8" ht="15.75" customHeight="1" x14ac:dyDescent="0.3">
      <c r="B37" s="9" t="s">
        <v>37</v>
      </c>
      <c r="C37" s="5"/>
      <c r="D37" s="5"/>
      <c r="E37" s="5"/>
      <c r="F37" s="5"/>
      <c r="G37" s="5"/>
      <c r="H37" s="37">
        <f>H35*H32</f>
        <v>537338.76020273229</v>
      </c>
    </row>
    <row r="38" spans="2:8" ht="15.75" customHeight="1" x14ac:dyDescent="0.3">
      <c r="B38" s="38" t="s">
        <v>38</v>
      </c>
      <c r="C38" s="40">
        <f>SUM(D36:H37)</f>
        <v>639601.42675320886</v>
      </c>
      <c r="D38" s="5"/>
      <c r="E38" s="5"/>
      <c r="F38" s="5"/>
      <c r="G38" s="5"/>
      <c r="H38" s="5"/>
    </row>
    <row r="39" spans="2:8" ht="15.75" customHeight="1" x14ac:dyDescent="0.3">
      <c r="D39" s="5"/>
      <c r="E39" s="5"/>
      <c r="F39" s="5"/>
      <c r="G39" s="5"/>
      <c r="H39" s="5"/>
    </row>
    <row r="40" spans="2:8" ht="15.75" customHeight="1" x14ac:dyDescent="0.3">
      <c r="B40" s="63" t="s">
        <v>39</v>
      </c>
      <c r="C40" s="64"/>
      <c r="D40" s="5"/>
      <c r="E40" s="5"/>
      <c r="F40" s="5"/>
      <c r="G40" s="5"/>
      <c r="H40" s="5"/>
    </row>
    <row r="41" spans="2:8" ht="15.75" customHeight="1" x14ac:dyDescent="0.3">
      <c r="B41" s="9" t="s">
        <v>40</v>
      </c>
      <c r="C41" s="4">
        <v>4321</v>
      </c>
      <c r="D41" s="5"/>
      <c r="E41" s="5"/>
      <c r="F41" s="5"/>
      <c r="G41" s="5"/>
      <c r="H41" s="5"/>
    </row>
    <row r="42" spans="2:8" ht="15.75" customHeight="1" x14ac:dyDescent="0.3">
      <c r="B42" s="9" t="s">
        <v>41</v>
      </c>
      <c r="C42" s="4">
        <v>1460</v>
      </c>
      <c r="D42" s="5"/>
      <c r="E42" s="5"/>
      <c r="F42" s="5"/>
      <c r="G42" s="5"/>
      <c r="H42" s="5"/>
    </row>
    <row r="43" spans="2:8" ht="15.75" customHeight="1" x14ac:dyDescent="0.3">
      <c r="B43" s="9" t="s">
        <v>57</v>
      </c>
      <c r="C43" s="4">
        <v>0</v>
      </c>
      <c r="D43" s="5"/>
      <c r="E43" s="5"/>
      <c r="F43" s="5"/>
      <c r="G43" s="5"/>
      <c r="H43" s="5"/>
    </row>
    <row r="44" spans="2:8" ht="15.75" customHeight="1" x14ac:dyDescent="0.3">
      <c r="B44" s="9" t="s">
        <v>58</v>
      </c>
      <c r="C44" s="4">
        <v>0</v>
      </c>
      <c r="D44" s="5"/>
      <c r="E44" s="5"/>
      <c r="F44" s="5"/>
      <c r="G44" s="5"/>
      <c r="H44" s="5"/>
    </row>
    <row r="45" spans="2:8" ht="15.75" customHeight="1" x14ac:dyDescent="0.3">
      <c r="B45" s="38" t="s">
        <v>44</v>
      </c>
      <c r="C45" s="40">
        <f>C38+C41+C42-C43-C44</f>
        <v>645382.42675320886</v>
      </c>
      <c r="D45" s="5"/>
      <c r="E45" s="5"/>
      <c r="F45" s="5"/>
      <c r="G45" s="5"/>
      <c r="H45" s="5"/>
    </row>
    <row r="46" spans="2:8" ht="15.75" customHeight="1" x14ac:dyDescent="0.3">
      <c r="C46" s="5"/>
      <c r="D46" s="5"/>
      <c r="E46" s="5"/>
      <c r="F46" s="5"/>
      <c r="G46" s="5"/>
      <c r="H46" s="5"/>
    </row>
    <row r="47" spans="2:8" ht="15.75" customHeight="1" x14ac:dyDescent="0.3">
      <c r="B47" s="9" t="s">
        <v>45</v>
      </c>
      <c r="C47" s="53">
        <v>405.5</v>
      </c>
      <c r="D47" s="5"/>
      <c r="E47" s="5"/>
      <c r="F47" s="5"/>
      <c r="G47" s="5"/>
      <c r="H47" s="5"/>
    </row>
    <row r="48" spans="2:8" ht="15.75" customHeight="1" x14ac:dyDescent="0.3">
      <c r="B48" s="38" t="s">
        <v>59</v>
      </c>
      <c r="C48" s="45">
        <f>C45/C47</f>
        <v>1591.5719525356569</v>
      </c>
      <c r="D48" s="5"/>
      <c r="E48" s="5"/>
      <c r="F48" s="5"/>
      <c r="G48" s="5"/>
      <c r="H48" s="5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showGridLines="0" zoomScale="136" zoomScaleNormal="136" workbookViewId="0">
      <selection activeCell="E13" sqref="E13"/>
    </sheetView>
  </sheetViews>
  <sheetFormatPr defaultColWidth="11.36328125" defaultRowHeight="15" customHeight="1" x14ac:dyDescent="0.25"/>
  <cols>
    <col min="1" max="1" width="10.54296875" customWidth="1"/>
    <col min="2" max="2" width="33.36328125" customWidth="1"/>
    <col min="3" max="26" width="10.54296875" customWidth="1"/>
  </cols>
  <sheetData>
    <row r="1" spans="2:18" ht="15.75" customHeight="1" x14ac:dyDescent="0.3"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15.75" customHeight="1" x14ac:dyDescent="0.3">
      <c r="B2" s="46" t="s">
        <v>0</v>
      </c>
      <c r="C2" s="47"/>
    </row>
    <row r="3" spans="2:18" ht="15.75" customHeight="1" x14ac:dyDescent="0.25"/>
    <row r="4" spans="2:18" ht="15.75" customHeight="1" x14ac:dyDescent="0.3">
      <c r="B4" s="2" t="s">
        <v>1</v>
      </c>
      <c r="C4" s="2"/>
    </row>
    <row r="5" spans="2:18" ht="15.75" customHeight="1" x14ac:dyDescent="0.3">
      <c r="B5" s="3" t="s">
        <v>2</v>
      </c>
      <c r="C5" s="4">
        <v>34424</v>
      </c>
      <c r="D5" s="5"/>
    </row>
    <row r="6" spans="2:18" ht="15.75" customHeight="1" x14ac:dyDescent="0.3">
      <c r="B6" s="3" t="s">
        <v>3</v>
      </c>
      <c r="C6" s="6">
        <v>0.28899999999999998</v>
      </c>
      <c r="D6" s="5"/>
    </row>
    <row r="7" spans="2:18" ht="15.75" customHeight="1" x14ac:dyDescent="0.3">
      <c r="B7" s="3" t="s">
        <v>4</v>
      </c>
      <c r="C7" s="4">
        <v>4015</v>
      </c>
      <c r="D7" s="5"/>
    </row>
    <row r="8" spans="2:18" ht="15.75" customHeight="1" x14ac:dyDescent="0.3">
      <c r="B8" s="3" t="s">
        <v>5</v>
      </c>
      <c r="C8" s="4">
        <v>760</v>
      </c>
      <c r="D8" s="5"/>
    </row>
    <row r="9" spans="2:18" ht="15.75" customHeight="1" x14ac:dyDescent="0.3">
      <c r="B9" s="3" t="s">
        <v>6</v>
      </c>
      <c r="C9" s="4">
        <v>2166</v>
      </c>
      <c r="D9" s="5"/>
    </row>
    <row r="10" spans="2:18" ht="15.75" customHeight="1" x14ac:dyDescent="0.3">
      <c r="B10" s="3" t="s">
        <v>7</v>
      </c>
      <c r="C10" s="4">
        <v>-2484</v>
      </c>
      <c r="D10" s="5"/>
    </row>
    <row r="11" spans="2:18" ht="15.75" customHeight="1" x14ac:dyDescent="0.3">
      <c r="B11" s="3"/>
      <c r="C11" s="4"/>
      <c r="D11" s="5"/>
    </row>
    <row r="12" spans="2:18" ht="15.75" customHeight="1" x14ac:dyDescent="0.3">
      <c r="B12" s="7" t="s">
        <v>8</v>
      </c>
      <c r="C12" s="8"/>
      <c r="D12" s="5"/>
    </row>
    <row r="13" spans="2:18" ht="15.75" customHeight="1" x14ac:dyDescent="0.3">
      <c r="B13" s="9" t="s">
        <v>2</v>
      </c>
      <c r="C13" s="4">
        <v>34424</v>
      </c>
      <c r="D13" s="5"/>
    </row>
    <row r="14" spans="2:18" ht="15.75" customHeight="1" x14ac:dyDescent="0.3">
      <c r="B14" s="9" t="s">
        <v>9</v>
      </c>
      <c r="C14" s="5">
        <f>C13*-C6</f>
        <v>-9948.5360000000001</v>
      </c>
      <c r="D14" s="5"/>
    </row>
    <row r="15" spans="2:18" ht="15.75" customHeight="1" x14ac:dyDescent="0.3">
      <c r="B15" s="9" t="s">
        <v>10</v>
      </c>
      <c r="C15" s="5">
        <f>C7+C8</f>
        <v>4775</v>
      </c>
      <c r="D15" s="5"/>
    </row>
    <row r="16" spans="2:18" ht="15.75" customHeight="1" x14ac:dyDescent="0.3">
      <c r="B16" s="9" t="s">
        <v>6</v>
      </c>
      <c r="C16" s="5">
        <f>-C9</f>
        <v>-2166</v>
      </c>
      <c r="D16" s="5"/>
    </row>
    <row r="17" spans="2:4" ht="15.75" customHeight="1" x14ac:dyDescent="0.3">
      <c r="B17" s="9" t="s">
        <v>7</v>
      </c>
      <c r="C17" s="5">
        <f>C10</f>
        <v>-2484</v>
      </c>
      <c r="D17" s="5"/>
    </row>
    <row r="18" spans="2:4" ht="15.75" customHeight="1" x14ac:dyDescent="0.3">
      <c r="B18" s="10" t="s">
        <v>8</v>
      </c>
      <c r="C18" s="11">
        <f>SUM(C13:C17)</f>
        <v>24600.464</v>
      </c>
      <c r="D18" s="5"/>
    </row>
    <row r="19" spans="2:4" ht="15.75" customHeight="1" x14ac:dyDescent="0.3">
      <c r="C19" s="5"/>
      <c r="D19" s="5"/>
    </row>
    <row r="20" spans="2:4" ht="15.75" customHeight="1" x14ac:dyDescent="0.3">
      <c r="C20" s="5"/>
      <c r="D20" s="5"/>
    </row>
    <row r="21" spans="2:4" ht="15.75" customHeight="1" x14ac:dyDescent="0.3">
      <c r="C21" s="5"/>
      <c r="D21" s="5"/>
    </row>
    <row r="22" spans="2:4" ht="15.75" customHeight="1" x14ac:dyDescent="0.3">
      <c r="C22" s="5"/>
      <c r="D22" s="5"/>
    </row>
    <row r="23" spans="2:4" ht="15.75" customHeight="1" x14ac:dyDescent="0.3">
      <c r="C23" s="5"/>
      <c r="D23" s="5"/>
    </row>
    <row r="24" spans="2:4" ht="15.75" customHeight="1" x14ac:dyDescent="0.3">
      <c r="C24" s="5"/>
      <c r="D24" s="5"/>
    </row>
    <row r="25" spans="2:4" ht="15.75" customHeight="1" x14ac:dyDescent="0.3">
      <c r="C25" s="5"/>
      <c r="D25" s="5"/>
    </row>
    <row r="26" spans="2:4" ht="15.75" customHeight="1" x14ac:dyDescent="0.3">
      <c r="C26" s="5"/>
      <c r="D26" s="5"/>
    </row>
    <row r="27" spans="2:4" ht="15.75" customHeight="1" x14ac:dyDescent="0.3">
      <c r="C27" s="5"/>
      <c r="D27" s="5"/>
    </row>
    <row r="28" spans="2:4" ht="15.75" customHeight="1" x14ac:dyDescent="0.3">
      <c r="C28" s="5"/>
      <c r="D28" s="5"/>
    </row>
    <row r="29" spans="2:4" ht="15.75" customHeight="1" x14ac:dyDescent="0.3">
      <c r="C29" s="5"/>
      <c r="D29" s="5"/>
    </row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showGridLines="0" workbookViewId="0">
      <selection activeCell="C10" sqref="C10"/>
    </sheetView>
  </sheetViews>
  <sheetFormatPr defaultColWidth="11.36328125" defaultRowHeight="15" customHeight="1" x14ac:dyDescent="0.25"/>
  <cols>
    <col min="1" max="1" width="10.54296875" customWidth="1"/>
    <col min="2" max="2" width="15.6328125" customWidth="1"/>
    <col min="3" max="3" width="11.36328125" customWidth="1"/>
    <col min="4" max="26" width="10.54296875" customWidth="1"/>
  </cols>
  <sheetData>
    <row r="1" spans="2:3" ht="15.75" customHeight="1" x14ac:dyDescent="0.25"/>
    <row r="2" spans="2:3" ht="15.75" customHeight="1" x14ac:dyDescent="0.3">
      <c r="B2" s="46" t="s">
        <v>11</v>
      </c>
      <c r="C2" s="47"/>
    </row>
    <row r="3" spans="2:3" ht="15.75" customHeight="1" x14ac:dyDescent="0.25"/>
    <row r="4" spans="2:3" ht="15.75" customHeight="1" x14ac:dyDescent="0.3">
      <c r="B4" s="12" t="s">
        <v>12</v>
      </c>
      <c r="C4" s="50">
        <v>515060</v>
      </c>
    </row>
    <row r="5" spans="2:3" ht="15.75" customHeight="1" x14ac:dyDescent="0.3">
      <c r="B5" s="12" t="s">
        <v>13</v>
      </c>
      <c r="C5" s="13">
        <v>0</v>
      </c>
    </row>
    <row r="6" spans="2:3" ht="15.75" customHeight="1" x14ac:dyDescent="0.3">
      <c r="B6" s="12" t="s">
        <v>14</v>
      </c>
      <c r="C6" s="51">
        <v>0.03</v>
      </c>
    </row>
    <row r="7" spans="2:3" ht="15.75" customHeight="1" x14ac:dyDescent="0.3">
      <c r="B7" s="12" t="s">
        <v>15</v>
      </c>
      <c r="C7" s="6">
        <v>0.28899999999999998</v>
      </c>
    </row>
    <row r="8" spans="2:3" ht="15.75" customHeight="1" x14ac:dyDescent="0.3">
      <c r="B8" s="12" t="s">
        <v>16</v>
      </c>
      <c r="C8" s="18">
        <v>7.0000000000000007E-2</v>
      </c>
    </row>
    <row r="9" spans="2:3" ht="15.75" customHeight="1" x14ac:dyDescent="0.3">
      <c r="B9" s="12" t="s">
        <v>17</v>
      </c>
      <c r="C9" s="13">
        <v>0.9</v>
      </c>
    </row>
    <row r="10" spans="2:3" ht="15.75" customHeight="1" x14ac:dyDescent="0.3">
      <c r="B10" s="12" t="s">
        <v>18</v>
      </c>
      <c r="C10" s="18">
        <v>0.11</v>
      </c>
    </row>
    <row r="11" spans="2:3" ht="15.75" customHeight="1" x14ac:dyDescent="0.3">
      <c r="B11" s="14" t="s">
        <v>19</v>
      </c>
      <c r="C11" s="15">
        <f>C8+C9*(C10-C8)</f>
        <v>0.10600000000000001</v>
      </c>
    </row>
    <row r="12" spans="2:3" ht="15.75" customHeight="1" x14ac:dyDescent="0.25"/>
    <row r="13" spans="2:3" ht="15.75" customHeight="1" x14ac:dyDescent="0.3">
      <c r="B13" s="12" t="s">
        <v>20</v>
      </c>
      <c r="C13" s="16">
        <f>C4/SUM(C4:C5)</f>
        <v>1</v>
      </c>
    </row>
    <row r="14" spans="2:3" ht="15.75" customHeight="1" x14ac:dyDescent="0.3">
      <c r="B14" s="12" t="s">
        <v>21</v>
      </c>
      <c r="C14" s="16">
        <f>C5/SUM(C4:C5)</f>
        <v>0</v>
      </c>
    </row>
    <row r="15" spans="2:3" ht="15.75" customHeight="1" x14ac:dyDescent="0.3">
      <c r="B15" s="10" t="s">
        <v>22</v>
      </c>
      <c r="C15" s="17">
        <f>C13*C11+C14*C6*(1-C7)</f>
        <v>0.10600000000000001</v>
      </c>
    </row>
    <row r="16" spans="2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C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showGridLines="0" workbookViewId="0">
      <selection activeCell="C7" sqref="C7"/>
    </sheetView>
  </sheetViews>
  <sheetFormatPr defaultColWidth="11.36328125" defaultRowHeight="15" customHeight="1" x14ac:dyDescent="0.25"/>
  <cols>
    <col min="1" max="1" width="10.54296875" customWidth="1"/>
    <col min="2" max="2" width="23.453125" customWidth="1"/>
    <col min="3" max="6" width="10.54296875" customWidth="1"/>
    <col min="7" max="7" width="11.6328125" customWidth="1"/>
    <col min="8" max="26" width="10.54296875" customWidth="1"/>
  </cols>
  <sheetData>
    <row r="1" spans="2:8" ht="15.75" customHeight="1" x14ac:dyDescent="0.25"/>
    <row r="2" spans="2:8" ht="16.5" customHeight="1" x14ac:dyDescent="0.25">
      <c r="B2" s="48" t="s">
        <v>23</v>
      </c>
      <c r="C2" s="49"/>
      <c r="D2" s="49"/>
      <c r="E2" s="49"/>
      <c r="F2" s="49"/>
      <c r="G2" s="49"/>
      <c r="H2" s="47"/>
    </row>
    <row r="3" spans="2:8" ht="15.75" customHeight="1" x14ac:dyDescent="0.25"/>
    <row r="4" spans="2:8" ht="15.75" customHeight="1" x14ac:dyDescent="0.3">
      <c r="B4" s="2" t="s">
        <v>1</v>
      </c>
      <c r="C4" s="2"/>
    </row>
    <row r="5" spans="2:8" ht="15.75" customHeight="1" x14ac:dyDescent="0.3">
      <c r="B5" s="3" t="s">
        <v>22</v>
      </c>
      <c r="C5" s="6">
        <f>10.6%</f>
        <v>0.106</v>
      </c>
    </row>
    <row r="6" spans="2:8" ht="15.75" customHeight="1" x14ac:dyDescent="0.3">
      <c r="B6" s="3" t="s">
        <v>24</v>
      </c>
      <c r="C6" s="18">
        <v>0.06</v>
      </c>
    </row>
    <row r="7" spans="2:8" ht="15.75" customHeight="1" x14ac:dyDescent="0.3">
      <c r="B7" s="3" t="s">
        <v>25</v>
      </c>
      <c r="C7" s="19">
        <f>19</f>
        <v>19</v>
      </c>
    </row>
    <row r="8" spans="2:8" ht="15.75" customHeight="1" x14ac:dyDescent="0.25"/>
    <row r="9" spans="2:8" ht="15.75" customHeight="1" x14ac:dyDescent="0.3">
      <c r="B9" s="20" t="s">
        <v>26</v>
      </c>
      <c r="C9" s="20">
        <v>1</v>
      </c>
      <c r="D9" s="20">
        <v>2</v>
      </c>
      <c r="E9" s="20">
        <v>3</v>
      </c>
      <c r="F9" s="20">
        <v>4</v>
      </c>
      <c r="G9" s="20">
        <v>5</v>
      </c>
    </row>
    <row r="10" spans="2:8" ht="15.75" customHeight="1" x14ac:dyDescent="0.3">
      <c r="B10" s="12" t="s">
        <v>27</v>
      </c>
      <c r="C10" s="50">
        <v>40500</v>
      </c>
      <c r="D10" s="13">
        <v>43580</v>
      </c>
      <c r="E10" s="13">
        <v>46890</v>
      </c>
      <c r="F10" s="13">
        <v>50450</v>
      </c>
      <c r="G10" s="13">
        <v>54280</v>
      </c>
    </row>
    <row r="11" spans="2:8" ht="15.75" customHeight="1" x14ac:dyDescent="0.3">
      <c r="B11" s="12" t="s">
        <v>28</v>
      </c>
      <c r="C11" s="13">
        <v>23596</v>
      </c>
      <c r="D11" s="13">
        <v>25544</v>
      </c>
      <c r="E11" s="13">
        <v>27655</v>
      </c>
      <c r="F11" s="13">
        <v>29944</v>
      </c>
      <c r="G11" s="13">
        <v>32425</v>
      </c>
    </row>
    <row r="12" spans="2:8" ht="15.75" customHeight="1" x14ac:dyDescent="0.25"/>
    <row r="13" spans="2:8" ht="15.75" customHeight="1" x14ac:dyDescent="0.3">
      <c r="G13" s="21" t="s">
        <v>29</v>
      </c>
      <c r="H13" s="22">
        <f>G11*(1+C6)/(C5-C6)</f>
        <v>747184.78260869568</v>
      </c>
    </row>
    <row r="14" spans="2:8" ht="15.75" customHeight="1" x14ac:dyDescent="0.3">
      <c r="F14" s="2"/>
      <c r="G14" s="23" t="s">
        <v>30</v>
      </c>
      <c r="H14" s="24">
        <f>G10*C7</f>
        <v>1031320</v>
      </c>
    </row>
    <row r="15" spans="2:8" ht="15.75" customHeight="1" x14ac:dyDescent="0.3">
      <c r="G15" s="21" t="s">
        <v>31</v>
      </c>
      <c r="H15" s="22">
        <f>AVERAGE(H13:H14)</f>
        <v>889252.3913043479</v>
      </c>
    </row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selection activeCell="C5" sqref="C5"/>
    </sheetView>
  </sheetViews>
  <sheetFormatPr defaultColWidth="11.36328125" defaultRowHeight="15" customHeight="1" x14ac:dyDescent="0.25"/>
  <cols>
    <col min="1" max="1" width="10.54296875" customWidth="1"/>
    <col min="2" max="2" width="14.6328125" customWidth="1"/>
    <col min="3" max="26" width="10.54296875" customWidth="1"/>
  </cols>
  <sheetData>
    <row r="1" spans="2:8" ht="15.75" customHeight="1" x14ac:dyDescent="0.25"/>
    <row r="2" spans="2:8" ht="15.75" customHeight="1" x14ac:dyDescent="0.3">
      <c r="B2" s="46" t="s">
        <v>32</v>
      </c>
      <c r="C2" s="49"/>
      <c r="D2" s="49"/>
      <c r="E2" s="49"/>
      <c r="F2" s="49"/>
      <c r="G2" s="49"/>
      <c r="H2" s="47"/>
    </row>
    <row r="3" spans="2:8" ht="15.75" customHeight="1" x14ac:dyDescent="0.25"/>
    <row r="4" spans="2:8" ht="15.75" customHeight="1" x14ac:dyDescent="0.3">
      <c r="B4" s="2" t="s">
        <v>33</v>
      </c>
      <c r="C4" s="2"/>
    </row>
    <row r="5" spans="2:8" ht="15.75" customHeight="1" x14ac:dyDescent="0.3">
      <c r="B5" s="3" t="s">
        <v>22</v>
      </c>
      <c r="C5" s="6">
        <f>10.5%</f>
        <v>0.105</v>
      </c>
    </row>
    <row r="6" spans="2:8" ht="15.75" customHeight="1" x14ac:dyDescent="0.25"/>
    <row r="7" spans="2:8" ht="15.75" customHeight="1" x14ac:dyDescent="0.3">
      <c r="B7" s="20" t="s">
        <v>26</v>
      </c>
      <c r="C7" s="20">
        <v>1</v>
      </c>
      <c r="D7" s="20">
        <v>2</v>
      </c>
      <c r="E7" s="20">
        <v>3</v>
      </c>
      <c r="F7" s="20">
        <v>4</v>
      </c>
      <c r="G7" s="20">
        <v>5</v>
      </c>
    </row>
    <row r="8" spans="2:8" ht="15.75" customHeight="1" x14ac:dyDescent="0.3">
      <c r="B8" s="12" t="s">
        <v>28</v>
      </c>
      <c r="C8" s="13">
        <v>23596</v>
      </c>
      <c r="D8" s="13">
        <v>25544</v>
      </c>
      <c r="E8" s="13">
        <v>27655</v>
      </c>
      <c r="F8" s="13">
        <v>29944</v>
      </c>
      <c r="G8" s="13">
        <v>32425</v>
      </c>
    </row>
    <row r="9" spans="2:8" ht="15.75" customHeight="1" x14ac:dyDescent="0.3">
      <c r="B9" s="12" t="s">
        <v>34</v>
      </c>
      <c r="C9" s="13"/>
      <c r="D9" s="13"/>
      <c r="E9" s="13"/>
      <c r="F9" s="13"/>
      <c r="G9" s="22">
        <v>434325.9</v>
      </c>
    </row>
    <row r="10" spans="2:8" ht="15.75" customHeight="1" x14ac:dyDescent="0.3">
      <c r="B10" s="14" t="s">
        <v>35</v>
      </c>
      <c r="C10" s="52">
        <f>1/(1+$C$5)^C7</f>
        <v>0.90497737556561086</v>
      </c>
      <c r="D10" s="52">
        <f t="shared" ref="D10:G10" si="0">1/(1+$C$5)^D7</f>
        <v>0.81898405028562071</v>
      </c>
      <c r="E10" s="52">
        <f t="shared" si="0"/>
        <v>0.74116203645757528</v>
      </c>
      <c r="F10" s="52">
        <f t="shared" si="0"/>
        <v>0.67073487462224002</v>
      </c>
      <c r="G10" s="52">
        <f t="shared" si="0"/>
        <v>0.60699988653596382</v>
      </c>
    </row>
    <row r="11" spans="2:8" ht="15.75" customHeight="1" x14ac:dyDescent="0.25"/>
    <row r="12" spans="2:8" ht="15.75" customHeight="1" x14ac:dyDescent="0.3">
      <c r="B12" s="14" t="s">
        <v>36</v>
      </c>
      <c r="C12" s="25">
        <f>C8*C10</f>
        <v>21353.846153846152</v>
      </c>
      <c r="D12" s="25">
        <f t="shared" ref="D12:G12" si="1">D8*D10</f>
        <v>20920.128580495897</v>
      </c>
      <c r="E12" s="25">
        <f t="shared" si="1"/>
        <v>20496.836118234245</v>
      </c>
      <c r="F12" s="25">
        <f t="shared" si="1"/>
        <v>20084.485085688357</v>
      </c>
      <c r="G12" s="25">
        <f t="shared" si="1"/>
        <v>19681.971320928627</v>
      </c>
    </row>
    <row r="13" spans="2:8" ht="15.75" customHeight="1" x14ac:dyDescent="0.3">
      <c r="B13" s="14" t="s">
        <v>37</v>
      </c>
      <c r="C13" s="25"/>
      <c r="D13" s="25"/>
      <c r="E13" s="25"/>
      <c r="F13" s="25"/>
      <c r="G13" s="25">
        <f>G9*G10</f>
        <v>263635.77201963036</v>
      </c>
    </row>
    <row r="14" spans="2:8" ht="15.75" customHeight="1" x14ac:dyDescent="0.3">
      <c r="B14" s="2"/>
    </row>
    <row r="15" spans="2:8" ht="15.75" customHeight="1" x14ac:dyDescent="0.3">
      <c r="B15" s="26" t="s">
        <v>38</v>
      </c>
      <c r="C15" s="27">
        <f>SUM(C12:G13)</f>
        <v>366173.03927882365</v>
      </c>
    </row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000"/>
  <sheetViews>
    <sheetView showGridLines="0" workbookViewId="0">
      <selection activeCell="C13" sqref="C13"/>
    </sheetView>
  </sheetViews>
  <sheetFormatPr defaultColWidth="11.36328125" defaultRowHeight="15" customHeight="1" x14ac:dyDescent="0.25"/>
  <cols>
    <col min="1" max="1" width="10.54296875" customWidth="1"/>
    <col min="2" max="2" width="28" customWidth="1"/>
    <col min="3" max="26" width="10.54296875" customWidth="1"/>
  </cols>
  <sheetData>
    <row r="1" spans="2:3" ht="15.75" customHeight="1" x14ac:dyDescent="0.25"/>
    <row r="2" spans="2:3" ht="15.75" customHeight="1" x14ac:dyDescent="0.25"/>
    <row r="3" spans="2:3" ht="15.75" customHeight="1" x14ac:dyDescent="0.3">
      <c r="B3" s="46" t="s">
        <v>39</v>
      </c>
      <c r="C3" s="47"/>
    </row>
    <row r="4" spans="2:3" ht="15.75" customHeight="1" x14ac:dyDescent="0.25"/>
    <row r="5" spans="2:3" ht="15.75" customHeight="1" x14ac:dyDescent="0.3">
      <c r="B5" s="12" t="s">
        <v>38</v>
      </c>
      <c r="C5" s="13">
        <f>340949</f>
        <v>340949</v>
      </c>
    </row>
    <row r="6" spans="2:3" ht="15.75" customHeight="1" x14ac:dyDescent="0.3">
      <c r="B6" s="12" t="s">
        <v>40</v>
      </c>
      <c r="C6" s="13">
        <f>2861</f>
        <v>2861</v>
      </c>
    </row>
    <row r="7" spans="2:3" ht="15.75" customHeight="1" x14ac:dyDescent="0.3">
      <c r="B7" s="12" t="s">
        <v>41</v>
      </c>
      <c r="C7" s="13">
        <f>1460</f>
        <v>1460</v>
      </c>
    </row>
    <row r="8" spans="2:3" ht="15.75" customHeight="1" x14ac:dyDescent="0.3">
      <c r="B8" s="12" t="s">
        <v>42</v>
      </c>
      <c r="C8" s="13">
        <f>0</f>
        <v>0</v>
      </c>
    </row>
    <row r="9" spans="2:3" ht="15.75" customHeight="1" x14ac:dyDescent="0.3">
      <c r="B9" s="12" t="s">
        <v>43</v>
      </c>
      <c r="C9" s="13">
        <f>0</f>
        <v>0</v>
      </c>
    </row>
    <row r="10" spans="2:3" ht="15.75" customHeight="1" x14ac:dyDescent="0.3">
      <c r="B10" s="10" t="s">
        <v>44</v>
      </c>
      <c r="C10" s="28">
        <f>C5+SUM(C6:C7)-SUM(C8:C9)</f>
        <v>345270</v>
      </c>
    </row>
    <row r="11" spans="2:3" ht="15.75" customHeight="1" x14ac:dyDescent="0.25"/>
    <row r="12" spans="2:3" ht="15.75" customHeight="1" x14ac:dyDescent="0.3">
      <c r="B12" s="12" t="s">
        <v>45</v>
      </c>
      <c r="C12" s="13">
        <v>405.5</v>
      </c>
    </row>
    <row r="13" spans="2:3" ht="15.75" customHeight="1" x14ac:dyDescent="0.3">
      <c r="B13" s="10" t="s">
        <v>46</v>
      </c>
      <c r="C13" s="29">
        <f>C10/C12</f>
        <v>851.46732429099882</v>
      </c>
    </row>
    <row r="14" spans="2:3" ht="15.75" customHeight="1" x14ac:dyDescent="0.25"/>
    <row r="15" spans="2:3" ht="15.75" customHeight="1" x14ac:dyDescent="0.25"/>
    <row r="16" spans="2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C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Full</vt:lpstr>
      <vt:lpstr>FCF</vt:lpstr>
      <vt:lpstr>WACC</vt:lpstr>
      <vt:lpstr>Terminal Value</vt:lpstr>
      <vt:lpstr>Discounting</vt:lpstr>
      <vt:lpstr>EV to Equity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Esakkiraj Iyyappan</cp:lastModifiedBy>
  <dcterms:created xsi:type="dcterms:W3CDTF">2021-10-04T07:58:36Z</dcterms:created>
  <dcterms:modified xsi:type="dcterms:W3CDTF">2026-03-29T10:36:36Z</dcterms:modified>
</cp:coreProperties>
</file>